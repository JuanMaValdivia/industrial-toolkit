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AN y TIR" sheetId="1" r:id="rId1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&quot;$&quot;#,##0"/>
    <numFmt numFmtId="166" formatCode="0.0%"/>
  </numFmts>
  <fonts count="5">
    <font>
      <sz val="11"/>
      <name val="Calibri"/>
    </font>
    <font>
      <b/>
      <sz val="14"/>
      <color rgb="FF1F5FD1"/>
      <name val="Calibri"/>
    </font>
    <font>
      <b/>
      <sz val="11"/>
      <color rgb="FFFFFFFF"/>
      <name val="Calibri"/>
    </font>
    <font>
      <i/>
      <sz val="10"/>
      <color rgb="FF5A677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5FD1"/>
      </patternFill>
    </fill>
    <fill>
      <patternFill patternType="solid">
        <fgColor rgb="FFFFF6D6"/>
      </patternFill>
    </fill>
  </fills>
  <borders count="1">
    <border/>
  </borders>
  <cellStyleXfs count="1">
    <xf/>
  </cellStyleXfs>
  <cellXfs count="10">
    <xf/>
    <xf fontId="1" applyFont="1"/>
    <xf fontId="2" fillId="2" applyFont="1" applyFill="1"/>
    <xf fillId="3" applyFill="1"/>
    <xf numFmtId="2" applyNumberFormat="1"/>
    <xf numFmtId="166" applyNumberFormat="1"/>
    <xf numFmtId="165" applyNumberFormat="1"/>
    <xf fontId="3" applyFont="1"/>
    <xf numFmtId="164" applyNumberFormat="1"/>
    <xf numFmtId="2" fontId="4" applyNumberFormat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0" customWidth="1"/>
    <col min="2" max="2" width="16" customWidth="1"/>
    <col min="3" max="3" width="18" customWidth="1"/>
    <col min="4" max="4" width="20" customWidth="1"/>
    <col min="5" max="5" width="4" customWidth="1"/>
    <col min="6" max="6" width="34" customWidth="1"/>
    <col min="7" max="7" width="16" customWidth="1"/>
  </cols>
  <sheetData>
    <row r="1">
      <c r="A1" s="1" t="inlineStr">
        <is>
          <t xml:space="preserve">VAN, TIR y recuperación descontada</t>
        </is>
      </c>
    </row>
    <row r="2">
      <c r="A2" s="7" t="inlineStr">
        <is>
          <t xml:space="preserve">Ejemplo: nueva línea de empaque. Cambia la inversión, la tasa y los flujos en las celdas amarillas.</t>
        </is>
      </c>
    </row>
    <row r="3">
      <c r="A3" s="7" t="inlineStr">
        <is>
          <t xml:space="preserve">Industrial Toolkit · CC BY-NC-SA 4.0 · Las celdas amarillas son datos que puedes cambiar.</t>
        </is>
      </c>
    </row>
    <row r="5">
      <c r="F5" s="2" t="inlineStr">
        <is>
          <t xml:space="preserve">Inversión inicial</t>
        </is>
      </c>
      <c r="G5" s="3">
        <v>1200000</v>
      </c>
    </row>
    <row r="6">
      <c r="F6" s="2" t="inlineStr">
        <is>
          <t xml:space="preserve">TREMA (tasa de descuento)</t>
        </is>
      </c>
      <c r="G6" s="3">
        <v>0.12</v>
      </c>
    </row>
    <row r="8">
      <c r="A8" s="2" t="inlineStr">
        <is>
          <t xml:space="preserve">Año</t>
        </is>
      </c>
      <c r="B8" s="2" t="inlineStr">
        <is>
          <t xml:space="preserve">Flujo</t>
        </is>
      </c>
      <c r="C8" s="2" t="inlineStr">
        <is>
          <t xml:space="preserve">Flujo descontado</t>
        </is>
      </c>
      <c r="D8" s="2" t="inlineStr">
        <is>
          <t xml:space="preserve">Acumulado descontado</t>
        </is>
      </c>
      <c r="F8" s="2" t="inlineStr">
        <is>
          <t xml:space="preserve">VAN</t>
        </is>
      </c>
      <c r="G8" s="6">
        <f>NPV(G6,B10:B14)-G5</f>
      </c>
    </row>
    <row r="9">
      <c r="A9">
        <v>0</v>
      </c>
      <c r="B9" s="6">
        <f>-G5</f>
      </c>
      <c r="C9" s="6">
        <f>B9</f>
      </c>
      <c r="D9" s="6">
        <f>C9</f>
      </c>
      <c r="F9" s="2" t="inlineStr">
        <is>
          <t xml:space="preserve">TIR</t>
        </is>
      </c>
      <c r="G9" s="5">
        <f>IRR(B9:B14)</f>
      </c>
    </row>
    <row r="10">
      <c r="A10">
        <v>1</v>
      </c>
      <c r="B10" s="3">
        <v>300000</v>
      </c>
      <c r="C10" s="6">
        <f>B10/(1+$G$6)^A10</f>
      </c>
      <c r="D10" s="6">
        <f>D9+C10</f>
      </c>
      <c r="F10" s="2" t="inlineStr">
        <is>
          <t xml:space="preserve">Índice de rentabilidad</t>
        </is>
      </c>
      <c r="G10" s="4">
        <f>(G8+G5)/G5</f>
      </c>
    </row>
    <row r="11">
      <c r="A11">
        <v>2</v>
      </c>
      <c r="B11" s="3">
        <v>350000</v>
      </c>
      <c r="C11" s="6">
        <f>B11/(1+$G$6)^A11</f>
      </c>
      <c r="D11" s="6">
        <f>D10+C11</f>
      </c>
    </row>
    <row r="12">
      <c r="A12">
        <v>3</v>
      </c>
      <c r="B12" s="3">
        <v>400000</v>
      </c>
      <c r="C12" s="6">
        <f>B12/(1+$G$6)^A12</f>
      </c>
      <c r="D12" s="6">
        <f>D11+C12</f>
      </c>
      <c r="F12" s="7" t="inlineStr">
        <is>
          <t xml:space="preserve">La inversión se recupera (descontada) en el primer año con acumulado positivo.</t>
        </is>
      </c>
    </row>
    <row r="13">
      <c r="A13">
        <v>4</v>
      </c>
      <c r="B13" s="3">
        <v>400000</v>
      </c>
      <c r="C13" s="6">
        <f>B13/(1+$G$6)^A13</f>
      </c>
      <c r="D13" s="6">
        <f>D12+C13</f>
      </c>
    </row>
    <row r="14">
      <c r="A14">
        <v>5</v>
      </c>
      <c r="B14" s="3">
        <v>450000</v>
      </c>
      <c r="C14" s="6">
        <f>B14/(1+$G$6)^A14</f>
      </c>
      <c r="D14" s="6">
        <f>D13+C14</f>
      </c>
    </row>
  </sheetData>
</worksheet>
</file>