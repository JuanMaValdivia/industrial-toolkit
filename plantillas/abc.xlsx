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C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2" customWidth="1"/>
    <col min="3" max="3" width="10" customWidth="1"/>
    <col min="4" max="4" width="14" customWidth="1"/>
    <col min="5" max="5" width="10" customWidth="1"/>
    <col min="6" max="6" width="14" customWidth="1"/>
    <col min="7" max="7" width="8" customWidth="1"/>
  </cols>
  <sheetData>
    <row r="1">
      <c r="A1" s="1" t="inlineStr">
        <is>
          <t xml:space="preserve">Clasificación ABC</t>
        </is>
      </c>
    </row>
    <row r="2">
      <c r="A2" s="7" t="inlineStr">
        <is>
          <t xml:space="preserve">Captura los artículos ordenados de mayor a menor valor de uso. Cambia los cortes A y B en las celdas amarillas.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Artículo</t>
        </is>
      </c>
      <c r="B5" s="2" t="inlineStr">
        <is>
          <t xml:space="preserve">Valor ($)</t>
        </is>
      </c>
      <c r="C5" s="2" t="inlineStr">
        <is>
          <t xml:space="preserve">Usos</t>
        </is>
      </c>
      <c r="D5" s="2" t="inlineStr">
        <is>
          <t xml:space="preserve">Valor de uso</t>
        </is>
      </c>
      <c r="E5" s="2" t="inlineStr">
        <is>
          <t xml:space="preserve">%</t>
        </is>
      </c>
      <c r="F5" s="2" t="inlineStr">
        <is>
          <t xml:space="preserve">% acumulado</t>
        </is>
      </c>
      <c r="G5" s="2" t="inlineStr">
        <is>
          <t xml:space="preserve">Clase</t>
        </is>
      </c>
      <c r="I5" s="2" t="inlineStr">
        <is>
          <t xml:space="preserve">Corte A (%)</t>
        </is>
      </c>
      <c r="J5" s="3">
        <v>0.8</v>
      </c>
    </row>
    <row r="6">
      <c r="A6" s="3" t="inlineStr">
        <is>
          <t xml:space="preserve">Tenis</t>
        </is>
      </c>
      <c r="B6" s="3">
        <v>1500</v>
      </c>
      <c r="C6" s="3">
        <v>90</v>
      </c>
      <c r="D6" s="6">
        <f>B6*C6</f>
      </c>
      <c r="E6" s="5">
        <f>D6/SUM($D$6:$D$15)</f>
      </c>
      <c r="F6" s="5">
        <f>SUM($D$6:D6)/SUM($D$6:$D$15)</f>
      </c>
      <c r="G6" s="9">
        <f>IF(0&lt;$J$5,"A",IF(0&lt;$J$6,"B","C"))</f>
      </c>
      <c r="I6" s="2" t="inlineStr">
        <is>
          <t xml:space="preserve">Corte B (%)</t>
        </is>
      </c>
      <c r="J6" s="3">
        <v>0.95</v>
      </c>
    </row>
    <row r="7">
      <c r="A7" s="3" t="inlineStr">
        <is>
          <t xml:space="preserve">Jeans</t>
        </is>
      </c>
      <c r="B7" s="3">
        <v>900</v>
      </c>
      <c r="C7" s="3">
        <v>60</v>
      </c>
      <c r="D7" s="6">
        <f>B7*C7</f>
      </c>
      <c r="E7" s="5">
        <f>D7/SUM($D$6:$D$15)</f>
      </c>
      <c r="F7" s="5">
        <f>SUM($D$6:D7)/SUM($D$6:$D$15)</f>
      </c>
      <c r="G7" s="9">
        <f>IF(F6&lt;$J$5,"A",IF(F6&lt;$J$6,"B","C"))</f>
      </c>
    </row>
    <row r="8">
      <c r="A8" s="3" t="inlineStr">
        <is>
          <t xml:space="preserve">Lentes de sol</t>
        </is>
      </c>
      <c r="B8" s="3">
        <v>1200</v>
      </c>
      <c r="C8" s="3">
        <v>25</v>
      </c>
      <c r="D8" s="6">
        <f>B8*C8</f>
      </c>
      <c r="E8" s="5">
        <f>D8/SUM($D$6:$D$15)</f>
      </c>
      <c r="F8" s="5">
        <f>SUM($D$6:D8)/SUM($D$6:$D$15)</f>
      </c>
      <c r="G8" s="9">
        <f>IF(F7&lt;$J$5,"A",IF(F7&lt;$J$6,"B","C"))</f>
      </c>
    </row>
    <row r="9">
      <c r="A9" s="3" t="inlineStr">
        <is>
          <t xml:space="preserve">Sudadera</t>
        </is>
      </c>
      <c r="B9" s="3">
        <v>700</v>
      </c>
      <c r="C9" s="3">
        <v>40</v>
      </c>
      <c r="D9" s="6">
        <f>B9*C9</f>
      </c>
      <c r="E9" s="5">
        <f>D9/SUM($D$6:$D$15)</f>
      </c>
      <c r="F9" s="5">
        <f>SUM($D$6:D9)/SUM($D$6:$D$15)</f>
      </c>
      <c r="G9" s="9">
        <f>IF(F8&lt;$J$5,"A",IF(F8&lt;$J$6,"B","C"))</f>
      </c>
    </row>
    <row r="10">
      <c r="A10" s="3" t="inlineStr">
        <is>
          <t xml:space="preserve">Chamarra</t>
        </is>
      </c>
      <c r="B10" s="3">
        <v>1800</v>
      </c>
      <c r="C10" s="3">
        <v>12</v>
      </c>
      <c r="D10" s="6">
        <f>B10*C10</f>
      </c>
      <c r="E10" s="5">
        <f>D10/SUM($D$6:$D$15)</f>
      </c>
      <c r="F10" s="5">
        <f>SUM($D$6:D10)/SUM($D$6:$D$15)</f>
      </c>
      <c r="G10" s="9">
        <f>IF(F9&lt;$J$5,"A",IF(F9&lt;$J$6,"B","C"))</f>
      </c>
    </row>
    <row r="11">
      <c r="A11" s="3" t="inlineStr">
        <is>
          <t xml:space="preserve">Playeras</t>
        </is>
      </c>
      <c r="B11" s="3">
        <v>250</v>
      </c>
      <c r="C11" s="3">
        <v>80</v>
      </c>
      <c r="D11" s="6">
        <f>B11*C11</f>
      </c>
      <c r="E11" s="5">
        <f>D11/SUM($D$6:$D$15)</f>
      </c>
      <c r="F11" s="5">
        <f>SUM($D$6:D11)/SUM($D$6:$D$15)</f>
      </c>
      <c r="G11" s="9">
        <f>IF(F10&lt;$J$5,"A",IF(F10&lt;$J$6,"B","C"))</f>
      </c>
    </row>
    <row r="12">
      <c r="A12" s="3" t="inlineStr">
        <is>
          <t xml:space="preserve">Traje</t>
        </is>
      </c>
      <c r="B12" s="3">
        <v>3500</v>
      </c>
      <c r="C12" s="3">
        <v>3</v>
      </c>
      <c r="D12" s="6">
        <f>B12*C12</f>
      </c>
      <c r="E12" s="5">
        <f>D12/SUM($D$6:$D$15)</f>
      </c>
      <c r="F12" s="5">
        <f>SUM($D$6:D12)/SUM($D$6:$D$15)</f>
      </c>
      <c r="G12" s="9">
        <f>IF(F11&lt;$J$5,"A",IF(F11&lt;$J$6,"B","C"))</f>
      </c>
    </row>
    <row r="13">
      <c r="A13" s="3" t="inlineStr">
        <is>
          <t xml:space="preserve">Calcetines</t>
        </is>
      </c>
      <c r="B13" s="3">
        <v>80</v>
      </c>
      <c r="C13" s="3">
        <v>100</v>
      </c>
      <c r="D13" s="6">
        <f>B13*C13</f>
      </c>
      <c r="E13" s="5">
        <f>D13/SUM($D$6:$D$15)</f>
      </c>
      <c r="F13" s="5">
        <f>SUM($D$6:D13)/SUM($D$6:$D$15)</f>
      </c>
      <c r="G13" s="9">
        <f>IF(F12&lt;$J$5,"A",IF(F12&lt;$J$6,"B","C"))</f>
      </c>
    </row>
    <row r="14">
      <c r="A14" s="3" t="inlineStr">
        <is>
          <t xml:space="preserve">Camisa formal</t>
        </is>
      </c>
      <c r="B14" s="3">
        <v>600</v>
      </c>
      <c r="C14" s="3">
        <v>10</v>
      </c>
      <c r="D14" s="6">
        <f>B14*C14</f>
      </c>
      <c r="E14" s="5">
        <f>D14/SUM($D$6:$D$15)</f>
      </c>
      <c r="F14" s="5">
        <f>SUM($D$6:D14)/SUM($D$6:$D$15)</f>
      </c>
      <c r="G14" s="9">
        <f>IF(F13&lt;$J$5,"A",IF(F13&lt;$J$6,"B","C"))</f>
      </c>
    </row>
    <row r="15">
      <c r="A15" s="3" t="inlineStr">
        <is>
          <t xml:space="preserve">Gorra</t>
        </is>
      </c>
      <c r="B15" s="3">
        <v>300</v>
      </c>
      <c r="C15" s="3">
        <v>15</v>
      </c>
      <c r="D15" s="6">
        <f>B15*C15</f>
      </c>
      <c r="E15" s="5">
        <f>D15/SUM($D$6:$D$15)</f>
      </c>
      <c r="F15" s="5">
        <f>SUM($D$6:D15)/SUM($D$6:$D$15)</f>
      </c>
      <c r="G15" s="9">
        <f>IF(F14&lt;$J$5,"A",IF(F14&lt;$J$6,"B","C"))</f>
      </c>
    </row>
  </sheetData>
</worksheet>
</file>