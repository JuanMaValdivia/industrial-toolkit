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eación agregada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$&quot;#,##0"/>
    <numFmt numFmtId="166" formatCode="0.0%"/>
  </numFmts>
  <fonts count="5">
    <font>
      <sz val="11"/>
      <name val="Calibri"/>
    </font>
    <font>
      <b/>
      <sz val="14"/>
      <color rgb="FF1F5FD1"/>
      <name val="Calibri"/>
    </font>
    <font>
      <b/>
      <sz val="11"/>
      <color rgb="FFFFFFFF"/>
      <name val="Calibri"/>
    </font>
    <font>
      <i/>
      <sz val="10"/>
      <color rgb="FF5A67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FD1"/>
      </patternFill>
    </fill>
    <fill>
      <patternFill patternType="solid">
        <fgColor rgb="FFFFF6D6"/>
      </patternFill>
    </fill>
  </fills>
  <borders count="1">
    <border/>
  </borders>
  <cellStyleXfs count="1">
    <xf/>
  </cellStyleXfs>
  <cellXfs count="10">
    <xf/>
    <xf fontId="1" applyFont="1"/>
    <xf fontId="2" fillId="2" applyFont="1" applyFill="1"/>
    <xf fillId="3" applyFill="1"/>
    <xf numFmtId="2" applyNumberFormat="1"/>
    <xf numFmtId="166" applyNumberFormat="1"/>
    <xf numFmtId="165" applyNumberFormat="1"/>
    <xf fontId="3" applyFont="1"/>
    <xf numFmtId="164" applyNumberFormat="1"/>
    <xf numFmtId="2" fontId="4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10" customWidth="1"/>
    <col min="3" max="3" width="8" customWidth="1"/>
    <col min="4" max="4" width="13" customWidth="1"/>
    <col min="5" max="5" width="13" customWidth="1"/>
    <col min="6" max="6" width="12" customWidth="1"/>
    <col min="7" max="7" width="12" customWidth="1"/>
    <col min="8" max="8" width="12" customWidth="1"/>
    <col min="9" max="9" width="12" customWidth="1"/>
    <col min="10" max="10" width="14" customWidth="1"/>
    <col min="11" max="11" width="4" customWidth="1"/>
    <col min="12" max="12" width="34" customWidth="1"/>
    <col min="13" max="13" width="14" customWidth="1"/>
  </cols>
  <sheetData>
    <row r="1">
      <c r="A1" s="1" t="inlineStr">
        <is>
          <t xml:space="preserve">Planeación agregada · caso NovaPack</t>
        </is>
      </c>
    </row>
    <row r="2">
      <c r="A2" s="7" t="inlineStr">
        <is>
          <t xml:space="preserve">Escribe los trabajadores y las horas extra de cada mes (amarillo). Ejemplo cargado: estrategia nivelada con 13 trabajadores.</t>
        </is>
      </c>
    </row>
    <row r="3">
      <c r="A3" s="7" t="inlineStr">
        <is>
          <t xml:space="preserve">Industrial Toolkit · CC BY-NC-SA 4.0 · Las celdas amarillas son datos que puedes cambiar.</t>
        </is>
      </c>
    </row>
    <row r="5">
      <c r="A5" s="2" t="inlineStr">
        <is>
          <t xml:space="preserve">Mes</t>
        </is>
      </c>
      <c r="B5" s="2" t="inlineStr">
        <is>
          <t xml:space="preserve">Demanda</t>
        </is>
      </c>
      <c r="C5" s="2" t="inlineStr">
        <is>
          <t xml:space="preserve">Días</t>
        </is>
      </c>
      <c r="D5" s="2" t="inlineStr">
        <is>
          <t xml:space="preserve">Trabajadores</t>
        </is>
      </c>
      <c r="E5" s="2" t="inlineStr">
        <is>
          <t xml:space="preserve">Horas extra</t>
        </is>
      </c>
      <c r="F5" s="2" t="inlineStr">
        <is>
          <t xml:space="preserve">Producción</t>
        </is>
      </c>
      <c r="G5" s="2" t="inlineStr">
        <is>
          <t xml:space="preserve">Inv. final</t>
        </is>
      </c>
      <c r="H5" s="2" t="inlineStr">
        <is>
          <t xml:space="preserve">Altas</t>
        </is>
      </c>
      <c r="I5" s="2" t="inlineStr">
        <is>
          <t xml:space="preserve">Bajas</t>
        </is>
      </c>
      <c r="J5" s="2" t="inlineStr">
        <is>
          <t xml:space="preserve">Estado</t>
        </is>
      </c>
      <c r="L5" s="2" t="inlineStr">
        <is>
          <t xml:space="preserve">Parámetro</t>
        </is>
      </c>
      <c r="M5" s="2" t="inlineStr">
        <is>
          <t xml:space="preserve">Valor</t>
        </is>
      </c>
    </row>
    <row r="6">
      <c r="A6" t="inlineStr">
        <is>
          <t xml:space="preserve">Enero</t>
        </is>
      </c>
      <c r="B6" s="3">
        <v>1000</v>
      </c>
      <c r="C6" s="3">
        <v>20</v>
      </c>
      <c r="D6" s="3">
        <v>13</v>
      </c>
      <c r="E6" s="3">
        <v>0</v>
      </c>
      <c r="F6">
        <f>D6*C6*$M$7</f>
      </c>
      <c r="G6">
        <f>$M$13+F6+E6-B6</f>
      </c>
      <c r="H6">
        <f>MAX(0,D6-$M$6)</f>
      </c>
      <c r="I6">
        <f>MAX(0,$M$6-D6)</f>
      </c>
      <c r="J6" s="9">
        <f>IF(G6&lt;0,"Faltante","OK")</f>
      </c>
      <c r="L6" t="inlineStr">
        <is>
          <t xml:space="preserve">Trabajadores iniciales</t>
        </is>
      </c>
      <c r="M6" s="3">
        <v>10</v>
      </c>
    </row>
    <row r="7">
      <c r="A7" t="inlineStr">
        <is>
          <t xml:space="preserve">Febrero</t>
        </is>
      </c>
      <c r="B7" s="3">
        <v>1200</v>
      </c>
      <c r="C7" s="3">
        <v>20</v>
      </c>
      <c r="D7" s="3">
        <v>13</v>
      </c>
      <c r="E7" s="3">
        <v>0</v>
      </c>
      <c r="F7">
        <f>D7*C7*$M$7</f>
      </c>
      <c r="G7">
        <f>G6+F7+E7-B7</f>
      </c>
      <c r="H7">
        <f>MAX(0,D7-D6)</f>
      </c>
      <c r="I7">
        <f>MAX(0,D6-D7)</f>
      </c>
      <c r="J7" s="9">
        <f>IF(G7&lt;0,"Faltante","OK")</f>
      </c>
      <c r="L7" t="inlineStr">
        <is>
          <t xml:space="preserve">Unidades por trabajador por día</t>
        </is>
      </c>
      <c r="M7" s="3">
        <v>5</v>
      </c>
    </row>
    <row r="8">
      <c r="A8" t="inlineStr">
        <is>
          <t xml:space="preserve">Marzo</t>
        </is>
      </c>
      <c r="B8" s="3">
        <v>1500</v>
      </c>
      <c r="C8" s="3">
        <v>22</v>
      </c>
      <c r="D8" s="3">
        <v>13</v>
      </c>
      <c r="E8" s="3">
        <v>0</v>
      </c>
      <c r="F8">
        <f>D8*C8*$M$7</f>
      </c>
      <c r="G8">
        <f>G7+F8+E8-B8</f>
      </c>
      <c r="H8">
        <f>MAX(0,D8-D7)</f>
      </c>
      <c r="I8">
        <f>MAX(0,D7-D8)</f>
      </c>
      <c r="J8" s="9">
        <f>IF(G8&lt;0,"Faltante","OK")</f>
      </c>
      <c r="L8" t="inlineStr">
        <is>
          <t xml:space="preserve">Salario ($/trabajador/día)</t>
        </is>
      </c>
      <c r="M8" s="3">
        <v>900</v>
      </c>
    </row>
    <row r="9">
      <c r="A9" t="inlineStr">
        <is>
          <t xml:space="preserve">Abril</t>
        </is>
      </c>
      <c r="B9" s="3">
        <v>1300</v>
      </c>
      <c r="C9" s="3">
        <v>20</v>
      </c>
      <c r="D9" s="3">
        <v>13</v>
      </c>
      <c r="E9" s="3">
        <v>0</v>
      </c>
      <c r="F9">
        <f>D9*C9*$M$7</f>
      </c>
      <c r="G9">
        <f>G8+F9+E9-B9</f>
      </c>
      <c r="H9">
        <f>MAX(0,D9-D8)</f>
      </c>
      <c r="I9">
        <f>MAX(0,D8-D9)</f>
      </c>
      <c r="J9" s="9">
        <f>IF(G9&lt;0,"Faltante","OK")</f>
      </c>
      <c r="L9" t="inlineStr">
        <is>
          <t xml:space="preserve">Contratar ($/trabajador)</t>
        </is>
      </c>
      <c r="M9" s="3">
        <v>2000</v>
      </c>
    </row>
    <row r="10">
      <c r="A10" t="inlineStr">
        <is>
          <t xml:space="preserve">Mayo</t>
        </is>
      </c>
      <c r="B10" s="3">
        <v>1700</v>
      </c>
      <c r="C10" s="3">
        <v>22</v>
      </c>
      <c r="D10" s="3">
        <v>13</v>
      </c>
      <c r="E10" s="3">
        <v>0</v>
      </c>
      <c r="F10">
        <f>D10*C10*$M$7</f>
      </c>
      <c r="G10">
        <f>G9+F10+E10-B10</f>
      </c>
      <c r="H10">
        <f>MAX(0,D10-D9)</f>
      </c>
      <c r="I10">
        <f>MAX(0,D9-D10)</f>
      </c>
      <c r="J10" s="9">
        <f>IF(G10&lt;0,"Faltante","OK")</f>
      </c>
      <c r="L10" t="inlineStr">
        <is>
          <t xml:space="preserve">Despedir ($/trabajador)</t>
        </is>
      </c>
      <c r="M10" s="3">
        <v>3000</v>
      </c>
    </row>
    <row r="11">
      <c r="A11" t="inlineStr">
        <is>
          <t xml:space="preserve">Junio</t>
        </is>
      </c>
      <c r="B11" s="3">
        <v>1400</v>
      </c>
      <c r="C11" s="3">
        <v>20</v>
      </c>
      <c r="D11" s="3">
        <v>13</v>
      </c>
      <c r="E11" s="3">
        <v>0</v>
      </c>
      <c r="F11">
        <f>D11*C11*$M$7</f>
      </c>
      <c r="G11">
        <f>G10+F11+E11-B11</f>
      </c>
      <c r="H11">
        <f>MAX(0,D11-D10)</f>
      </c>
      <c r="I11">
        <f>MAX(0,D10-D11)</f>
      </c>
      <c r="J11" s="9">
        <f>IF(G11&lt;0,"Faltante","OK")</f>
      </c>
      <c r="L11" t="inlineStr">
        <is>
          <t xml:space="preserve">Inventario ($/unidad/mes)</t>
        </is>
      </c>
      <c r="M11" s="3">
        <v>15</v>
      </c>
    </row>
    <row r="12">
      <c r="L12" t="inlineStr">
        <is>
          <t xml:space="preserve">Horas extra ($/unidad)</t>
        </is>
      </c>
      <c r="M12" s="3">
        <v>35</v>
      </c>
    </row>
    <row r="13">
      <c r="A13" s="2" t="inlineStr">
        <is>
          <t xml:space="preserve">Costos</t>
        </is>
      </c>
      <c r="L13" t="inlineStr">
        <is>
          <t xml:space="preserve">Inventario inicial</t>
        </is>
      </c>
      <c r="M13" s="3">
        <v>200</v>
      </c>
    </row>
    <row r="14">
      <c r="A14" t="inlineStr">
        <is>
          <t xml:space="preserve">Salarios</t>
        </is>
      </c>
      <c r="B14" s="6">
        <f>SUMPRODUCT(D6:D11,C6:C11)*M8</f>
      </c>
      <c r="L14" t="inlineStr">
        <is>
          <t xml:space="preserve">Inventario final mínimo</t>
        </is>
      </c>
      <c r="M14" s="3">
        <v>100</v>
      </c>
    </row>
    <row r="15">
      <c r="A15" t="inlineStr">
        <is>
          <t xml:space="preserve">Contratación</t>
        </is>
      </c>
      <c r="B15" s="6">
        <f>SUM(H6:H11)*M9</f>
      </c>
    </row>
    <row r="16">
      <c r="A16" t="inlineStr">
        <is>
          <t xml:space="preserve">Despido</t>
        </is>
      </c>
      <c r="B16" s="6">
        <f>SUM(I6:I11)*M10</f>
      </c>
    </row>
    <row r="17">
      <c r="A17" t="inlineStr">
        <is>
          <t xml:space="preserve">Inventario</t>
        </is>
      </c>
      <c r="B17" s="6">
        <f>SUMIF(G6:G11,"&gt;0")*M11</f>
      </c>
    </row>
    <row r="18">
      <c r="A18" t="inlineStr">
        <is>
          <t xml:space="preserve">Horas extra</t>
        </is>
      </c>
      <c r="B18" s="6">
        <f>SUM(E6:E11)*M12</f>
      </c>
    </row>
    <row r="19">
      <c r="A19" t="inlineStr">
        <is>
          <t xml:space="preserve">Costo total</t>
        </is>
      </c>
      <c r="B19" s="9">
        <f>SUM(B14:B18)</f>
      </c>
    </row>
    <row r="21">
      <c r="A21" s="2" t="inlineStr">
        <is>
          <t xml:space="preserve">¿Factible?</t>
        </is>
      </c>
      <c r="B21" s="9">
        <f>IF(AND(COUNTIF(J6:J11,"Faltante")=0,G11&gt;=M14),"Sí","No: hay faltantes o el cierre es menor al mínimo")</f>
      </c>
    </row>
    <row r="23">
      <c r="A23" s="7" t="inlineStr">
        <is>
          <t xml:space="preserve">Prueba: 12 trabajadores (no factible), persecución 8-12-14-13-16-14, o mixta: 10 trabajadores con horas extra 0-0-400-300-600-500.</t>
        </is>
      </c>
    </row>
  </sheetData>
</worksheet>
</file>