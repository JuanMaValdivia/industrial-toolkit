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didos" sheetId="1" r:id="rId1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&quot;$&quot;#,##0"/>
    <numFmt numFmtId="166" formatCode="0.0%"/>
  </numFmts>
  <fonts count="5">
    <font>
      <sz val="11"/>
      <name val="Calibri"/>
    </font>
    <font>
      <b/>
      <sz val="14"/>
      <color rgb="FF1F5FD1"/>
      <name val="Calibri"/>
    </font>
    <font>
      <b/>
      <sz val="11"/>
      <color rgb="FFFFFFFF"/>
      <name val="Calibri"/>
    </font>
    <font>
      <i/>
      <sz val="10"/>
      <color rgb="FF5A677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5FD1"/>
      </patternFill>
    </fill>
    <fill>
      <patternFill patternType="solid">
        <fgColor rgb="FFFFF6D6"/>
      </patternFill>
    </fill>
  </fills>
  <borders count="1">
    <border/>
  </borders>
  <cellStyleXfs count="1">
    <xf/>
  </cellStyleXfs>
  <cellXfs count="10">
    <xf/>
    <xf fontId="1" applyFont="1"/>
    <xf fontId="2" fillId="2" applyFont="1" applyFill="1"/>
    <xf fillId="3" applyFill="1"/>
    <xf numFmtId="2" applyNumberFormat="1"/>
    <xf numFmtId="166" applyNumberFormat="1"/>
    <xf numFmtId="165" applyNumberFormat="1"/>
    <xf fontId="3" applyFont="1"/>
    <xf numFmtId="164" applyNumberFormat="1"/>
    <xf numFmtId="2" fontId="4" applyNumberFormat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12" customWidth="1"/>
    <col min="3" max="3" width="12" customWidth="1"/>
    <col min="4" max="4" width="16" customWidth="1"/>
    <col min="5" max="5" width="16" customWidth="1"/>
    <col min="6" max="6" width="14" customWidth="1"/>
  </cols>
  <sheetData>
    <row r="1">
      <c r="A1" s="1" t="inlineStr">
        <is>
          <t xml:space="preserve">Planificación de pedidos por lotes</t>
        </is>
      </c>
    </row>
    <row r="2">
      <c r="A2" s="7" t="inlineStr">
        <is>
          <t xml:space="preserve">Escribe cuánto pides cada mes (columna C). El inventario y los costos se calculan solos. Ejemplo: pedir en los meses 1 y 3.</t>
        </is>
      </c>
    </row>
    <row r="3">
      <c r="A3" s="7" t="inlineStr">
        <is>
          <t xml:space="preserve">Industrial Toolkit · CC BY-NC-SA 4.0 · Las celdas amarillas son datos que puedes cambiar.</t>
        </is>
      </c>
    </row>
    <row r="5">
      <c r="A5" s="2" t="inlineStr">
        <is>
          <t xml:space="preserve">Mes</t>
        </is>
      </c>
      <c r="B5" s="2" t="inlineStr">
        <is>
          <t xml:space="preserve">Demanda</t>
        </is>
      </c>
      <c r="C5" s="2" t="inlineStr">
        <is>
          <t xml:space="preserve">Pedido</t>
        </is>
      </c>
      <c r="D5" s="2" t="inlineStr">
        <is>
          <t xml:space="preserve">Inventario final</t>
        </is>
      </c>
      <c r="E5" s="2" t="inlineStr">
        <is>
          <t xml:space="preserve">Costo de mantener</t>
        </is>
      </c>
      <c r="F5" s="2" t="inlineStr">
        <is>
          <t xml:space="preserve">Costo de pedir</t>
        </is>
      </c>
      <c r="H5" s="2" t="inlineStr">
        <is>
          <t xml:space="preserve">Costo por pedido (S)</t>
        </is>
      </c>
      <c r="I5" s="3">
        <v>50</v>
      </c>
    </row>
    <row r="6">
      <c r="A6">
        <v>1</v>
      </c>
      <c r="B6" s="3">
        <v>100</v>
      </c>
      <c r="C6" s="3">
        <v>250</v>
      </c>
      <c r="D6">
        <f>C6-B6</f>
      </c>
      <c r="E6" s="6">
        <f>D6*$I$6</f>
      </c>
      <c r="F6" s="6">
        <f>IF(C6&gt;0,$I$5,0)</f>
      </c>
      <c r="H6" s="2" t="inlineStr">
        <is>
          <t xml:space="preserve">Costo de mantener (h, por mes)</t>
        </is>
      </c>
      <c r="I6" s="3">
        <v>2</v>
      </c>
    </row>
    <row r="7">
      <c r="A7">
        <v>2</v>
      </c>
      <c r="B7" s="3">
        <v>150</v>
      </c>
      <c r="C7" s="3">
        <v>0</v>
      </c>
      <c r="D7">
        <f>D6+C7-B7</f>
      </c>
      <c r="E7" s="6">
        <f>D7*$I$6</f>
      </c>
      <c r="F7" s="6">
        <f>IF(C7&gt;0,$I$5,0)</f>
      </c>
    </row>
    <row r="8">
      <c r="A8">
        <v>3</v>
      </c>
      <c r="B8" s="3">
        <v>200</v>
      </c>
      <c r="C8" s="3">
        <v>200</v>
      </c>
      <c r="D8">
        <f>D7+C8-B8</f>
      </c>
      <c r="E8" s="6">
        <f>D8*$I$6</f>
      </c>
      <c r="F8" s="6">
        <f>IF(C8&gt;0,$I$5,0)</f>
      </c>
    </row>
    <row r="10">
      <c r="A10" s="2" t="inlineStr">
        <is>
          <t xml:space="preserve">Total</t>
        </is>
      </c>
      <c r="E10" s="6">
        <f>SUM(E6:E8)</f>
      </c>
      <c r="F10" s="6">
        <f>SUM(F6:F8)</f>
      </c>
    </row>
    <row r="11">
      <c r="A11" s="2" t="inlineStr">
        <is>
          <t xml:space="preserve">Costo total</t>
        </is>
      </c>
      <c r="F11" s="6">
        <f>E10+F10</f>
      </c>
    </row>
    <row r="13">
      <c r="A13" s="7" t="inlineStr">
        <is>
          <t xml:space="preserve">Si el inventario final sale negativo, faltó producto: aumenta algún pedido.</t>
        </is>
      </c>
    </row>
  </sheetData>
</worksheet>
</file>