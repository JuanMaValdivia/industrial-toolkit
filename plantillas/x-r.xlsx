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X-R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10" customWidth="1"/>
    <col min="8" max="8" width="10" customWidth="1"/>
    <col min="9" max="9" width="12" customWidth="1"/>
    <col min="10" max="10" width="4" customWidth="1"/>
    <col min="11" max="11" width="30" customWidth="1"/>
    <col min="12" max="12" width="12" customWidth="1"/>
  </cols>
  <sheetData>
    <row r="1">
      <c r="A1" s="1" t="inlineStr">
        <is>
          <t xml:space="preserve">Gráfica X̄-R (subgrupos de 5)</t>
        </is>
      </c>
    </row>
    <row r="2">
      <c r="A2" s="7" t="inlineStr">
        <is>
          <t xml:space="preserve">Pega un subgrupo por fila en las columnas B a F. Revisa primero la gráfica R y después la X̄.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Subgrupo</t>
        </is>
      </c>
      <c r="B5" s="2" t="inlineStr">
        <is>
          <t xml:space="preserve">x1</t>
        </is>
      </c>
      <c r="C5" s="2" t="inlineStr">
        <is>
          <t xml:space="preserve">x2</t>
        </is>
      </c>
      <c r="D5" s="2" t="inlineStr">
        <is>
          <t xml:space="preserve">x3</t>
        </is>
      </c>
      <c r="E5" s="2" t="inlineStr">
        <is>
          <t xml:space="preserve">x4</t>
        </is>
      </c>
      <c r="F5" s="2" t="inlineStr">
        <is>
          <t xml:space="preserve">x5</t>
        </is>
      </c>
      <c r="G5" s="2" t="inlineStr">
        <is>
          <t xml:space="preserve">X̄</t>
        </is>
      </c>
      <c r="H5" s="2" t="inlineStr">
        <is>
          <t xml:space="preserve">R</t>
        </is>
      </c>
      <c r="I5" s="2" t="inlineStr">
        <is>
          <t xml:space="preserve">Estado</t>
        </is>
      </c>
      <c r="K5" s="2" t="inlineStr">
        <is>
          <t xml:space="preserve">Resumen (n = 5)</t>
        </is>
      </c>
      <c r="L5" s="2" t="inlineStr">
        <is>
          <t xml:space="preserve">Valor</t>
        </is>
      </c>
    </row>
    <row r="6">
      <c r="A6">
        <v>1</v>
      </c>
      <c r="B6" s="3">
        <v>10.09</v>
      </c>
      <c r="C6" s="3">
        <v>9.97</v>
      </c>
      <c r="D6" s="3">
        <v>10.02</v>
      </c>
      <c r="E6" s="3">
        <v>10.01</v>
      </c>
      <c r="F6" s="3">
        <v>10.03</v>
      </c>
      <c r="G6" s="8">
        <f>AVERAGE(B6:F6)</f>
      </c>
      <c r="H6" s="8">
        <f>MAX(B6:F6)-MIN(B6:F6)</f>
      </c>
      <c r="I6">
        <f>IF(OR(H6&gt;$L$14,H6&lt;$L$15),"R fuera",IF(OR(G6&gt;$L$12,G6&lt;$L$13),"X̄ fuera","Dentro"))</f>
      </c>
      <c r="K6" t="inlineStr">
        <is>
          <t xml:space="preserve">A₂</t>
        </is>
      </c>
      <c r="L6" s="3">
        <v>0.577</v>
      </c>
    </row>
    <row r="7">
      <c r="A7">
        <v>2</v>
      </c>
      <c r="B7" s="3">
        <v>9.94</v>
      </c>
      <c r="C7" s="3">
        <v>9.98</v>
      </c>
      <c r="D7" s="3">
        <v>9.97</v>
      </c>
      <c r="E7" s="3">
        <v>9.96</v>
      </c>
      <c r="F7" s="3">
        <v>9.97</v>
      </c>
      <c r="G7" s="8">
        <f>AVERAGE(B7:F7)</f>
      </c>
      <c r="H7" s="8">
        <f>MAX(B7:F7)-MIN(B7:F7)</f>
      </c>
      <c r="I7">
        <f>IF(OR(H7&gt;$L$14,H7&lt;$L$15),"R fuera",IF(OR(G7&gt;$L$12,G7&lt;$L$13),"X̄ fuera","Dentro"))</f>
      </c>
      <c r="K7" t="inlineStr">
        <is>
          <t xml:space="preserve">D₃</t>
        </is>
      </c>
      <c r="L7" s="3">
        <v>0</v>
      </c>
    </row>
    <row r="8">
      <c r="A8">
        <v>3</v>
      </c>
      <c r="B8" s="3">
        <v>9.98</v>
      </c>
      <c r="C8" s="3">
        <v>9.99</v>
      </c>
      <c r="D8" s="3">
        <v>9.96</v>
      </c>
      <c r="E8" s="3">
        <v>10.02</v>
      </c>
      <c r="F8" s="3">
        <v>9.98</v>
      </c>
      <c r="G8" s="8">
        <f>AVERAGE(B8:F8)</f>
      </c>
      <c r="H8" s="8">
        <f>MAX(B8:F8)-MIN(B8:F8)</f>
      </c>
      <c r="I8">
        <f>IF(OR(H8&gt;$L$14,H8&lt;$L$15),"R fuera",IF(OR(G8&gt;$L$12,G8&lt;$L$13),"X̄ fuera","Dentro"))</f>
      </c>
      <c r="K8" t="inlineStr">
        <is>
          <t xml:space="preserve">D₄</t>
        </is>
      </c>
      <c r="L8" s="3">
        <v>2.114</v>
      </c>
    </row>
    <row r="9">
      <c r="A9">
        <v>4</v>
      </c>
      <c r="B9" s="3">
        <v>9.87</v>
      </c>
      <c r="C9" s="3">
        <v>10.05</v>
      </c>
      <c r="D9" s="3">
        <v>9.98</v>
      </c>
      <c r="E9" s="3">
        <v>9.97</v>
      </c>
      <c r="F9" s="3">
        <v>10.01</v>
      </c>
      <c r="G9" s="8">
        <f>AVERAGE(B9:F9)</f>
      </c>
      <c r="H9" s="8">
        <f>MAX(B9:F9)-MIN(B9:F9)</f>
      </c>
      <c r="I9">
        <f>IF(OR(H9&gt;$L$14,H9&lt;$L$15),"R fuera",IF(OR(G9&gt;$L$12,G9&lt;$L$13),"X̄ fuera","Dentro"))</f>
      </c>
      <c r="K9" t="inlineStr">
        <is>
          <t xml:space="preserve">d₂</t>
        </is>
      </c>
      <c r="L9" s="3">
        <v>2.326</v>
      </c>
    </row>
    <row r="10">
      <c r="A10">
        <v>5</v>
      </c>
      <c r="B10" s="3">
        <v>10.01</v>
      </c>
      <c r="C10" s="3">
        <v>10.0</v>
      </c>
      <c r="D10" s="3">
        <v>9.97</v>
      </c>
      <c r="E10" s="3">
        <v>10.01</v>
      </c>
      <c r="F10" s="3">
        <v>9.94</v>
      </c>
      <c r="G10" s="8">
        <f>AVERAGE(B10:F10)</f>
      </c>
      <c r="H10" s="8">
        <f>MAX(B10:F10)-MIN(B10:F10)</f>
      </c>
      <c r="I10">
        <f>IF(OR(H10&gt;$L$14,H10&lt;$L$15),"R fuera",IF(OR(G10&gt;$L$12,G10&lt;$L$13),"X̄ fuera","Dentro"))</f>
      </c>
      <c r="K10" t="inlineStr">
        <is>
          <t xml:space="preserve">X̿ · gran promedio</t>
        </is>
      </c>
      <c r="L10" s="8">
        <f>AVERAGE(G6:G25)</f>
      </c>
    </row>
    <row r="11">
      <c r="A11">
        <v>6</v>
      </c>
      <c r="B11" s="3">
        <v>10.06</v>
      </c>
      <c r="C11" s="3">
        <v>9.95</v>
      </c>
      <c r="D11" s="3">
        <v>9.99</v>
      </c>
      <c r="E11" s="3">
        <v>10.0</v>
      </c>
      <c r="F11" s="3">
        <v>10.01</v>
      </c>
      <c r="G11" s="8">
        <f>AVERAGE(B11:F11)</f>
      </c>
      <c r="H11" s="8">
        <f>MAX(B11:F11)-MIN(B11:F11)</f>
      </c>
      <c r="I11">
        <f>IF(OR(H11&gt;$L$14,H11&lt;$L$15),"R fuera",IF(OR(G11&gt;$L$12,G11&lt;$L$13),"X̄ fuera","Dentro"))</f>
      </c>
      <c r="K11" t="inlineStr">
        <is>
          <t xml:space="preserve">R̄ · rango promedio</t>
        </is>
      </c>
      <c r="L11" s="8">
        <f>AVERAGE(H6:H25)</f>
      </c>
    </row>
    <row r="12">
      <c r="A12">
        <v>7</v>
      </c>
      <c r="B12" s="3">
        <v>9.99</v>
      </c>
      <c r="C12" s="3">
        <v>10.02</v>
      </c>
      <c r="D12" s="3">
        <v>9.85</v>
      </c>
      <c r="E12" s="3">
        <v>9.99</v>
      </c>
      <c r="F12" s="3">
        <v>9.99</v>
      </c>
      <c r="G12" s="8">
        <f>AVERAGE(B12:F12)</f>
      </c>
      <c r="H12" s="8">
        <f>MAX(B12:F12)-MIN(B12:F12)</f>
      </c>
      <c r="I12">
        <f>IF(OR(H12&gt;$L$14,H12&lt;$L$15),"R fuera",IF(OR(G12&gt;$L$12,G12&lt;$L$13),"X̄ fuera","Dentro"))</f>
      </c>
      <c r="K12" t="inlineStr">
        <is>
          <t xml:space="preserve">LCS de X̄</t>
        </is>
      </c>
      <c r="L12" s="8">
        <f>L10+L6*L11</f>
      </c>
    </row>
    <row r="13">
      <c r="A13">
        <v>8</v>
      </c>
      <c r="B13" s="3">
        <v>9.98</v>
      </c>
      <c r="C13" s="3">
        <v>10.06</v>
      </c>
      <c r="D13" s="3">
        <v>9.96</v>
      </c>
      <c r="E13" s="3">
        <v>9.99</v>
      </c>
      <c r="F13" s="3">
        <v>9.91</v>
      </c>
      <c r="G13" s="8">
        <f>AVERAGE(B13:F13)</f>
      </c>
      <c r="H13" s="8">
        <f>MAX(B13:F13)-MIN(B13:F13)</f>
      </c>
      <c r="I13">
        <f>IF(OR(H13&gt;$L$14,H13&lt;$L$15),"R fuera",IF(OR(G13&gt;$L$12,G13&lt;$L$13),"X̄ fuera","Dentro"))</f>
      </c>
      <c r="K13" t="inlineStr">
        <is>
          <t xml:space="preserve">LCI de X̄</t>
        </is>
      </c>
      <c r="L13" s="8">
        <f>L10-L6*L11</f>
      </c>
    </row>
    <row r="14">
      <c r="A14">
        <v>9</v>
      </c>
      <c r="B14" s="3">
        <v>10.01</v>
      </c>
      <c r="C14" s="3">
        <v>9.93</v>
      </c>
      <c r="D14" s="3">
        <v>9.93</v>
      </c>
      <c r="E14" s="3">
        <v>10.09</v>
      </c>
      <c r="F14" s="3">
        <v>10.02</v>
      </c>
      <c r="G14" s="8">
        <f>AVERAGE(B14:F14)</f>
      </c>
      <c r="H14" s="8">
        <f>MAX(B14:F14)-MIN(B14:F14)</f>
      </c>
      <c r="I14">
        <f>IF(OR(H14&gt;$L$14,H14&lt;$L$15),"R fuera",IF(OR(G14&gt;$L$12,G14&lt;$L$13),"X̄ fuera","Dentro"))</f>
      </c>
      <c r="K14" t="inlineStr">
        <is>
          <t xml:space="preserve">LCS de R</t>
        </is>
      </c>
      <c r="L14" s="8">
        <f>L8*L11</f>
      </c>
    </row>
    <row r="15">
      <c r="A15">
        <v>10</v>
      </c>
      <c r="B15" s="3">
        <v>9.99</v>
      </c>
      <c r="C15" s="3">
        <v>10.0</v>
      </c>
      <c r="D15" s="3">
        <v>9.94</v>
      </c>
      <c r="E15" s="3">
        <v>9.95</v>
      </c>
      <c r="F15" s="3">
        <v>10.01</v>
      </c>
      <c r="G15" s="8">
        <f>AVERAGE(B15:F15)</f>
      </c>
      <c r="H15" s="8">
        <f>MAX(B15:F15)-MIN(B15:F15)</f>
      </c>
      <c r="I15">
        <f>IF(OR(H15&gt;$L$14,H15&lt;$L$15),"R fuera",IF(OR(G15&gt;$L$12,G15&lt;$L$13),"X̄ fuera","Dentro"))</f>
      </c>
      <c r="K15" t="inlineStr">
        <is>
          <t xml:space="preserve">LCI de R</t>
        </is>
      </c>
      <c r="L15" s="8">
        <f>L7*L11</f>
      </c>
    </row>
    <row r="16">
      <c r="A16">
        <v>11</v>
      </c>
      <c r="B16" s="3">
        <v>9.91</v>
      </c>
      <c r="C16" s="3">
        <v>10.01</v>
      </c>
      <c r="D16" s="3">
        <v>9.92</v>
      </c>
      <c r="E16" s="3">
        <v>10.0</v>
      </c>
      <c r="F16" s="3">
        <v>9.95</v>
      </c>
      <c r="G16" s="8">
        <f>AVERAGE(B16:F16)</f>
      </c>
      <c r="H16" s="8">
        <f>MAX(B16:F16)-MIN(B16:F16)</f>
      </c>
      <c r="I16">
        <f>IF(OR(H16&gt;$L$14,H16&lt;$L$15),"R fuera",IF(OR(G16&gt;$L$12,G16&lt;$L$13),"X̄ fuera","Dentro"))</f>
      </c>
      <c r="K16" t="inlineStr">
        <is>
          <t xml:space="preserve">σ̂ = R̄ / d₂</t>
        </is>
      </c>
      <c r="L16" s="8">
        <f>L11/L9</f>
      </c>
    </row>
    <row r="17">
      <c r="A17">
        <v>12</v>
      </c>
      <c r="B17" s="3">
        <v>10.07</v>
      </c>
      <c r="C17" s="3">
        <v>10.04</v>
      </c>
      <c r="D17" s="3">
        <v>9.97</v>
      </c>
      <c r="E17" s="3">
        <v>9.92</v>
      </c>
      <c r="F17" s="3">
        <v>9.96</v>
      </c>
      <c r="G17" s="8">
        <f>AVERAGE(B17:F17)</f>
      </c>
      <c r="H17" s="8">
        <f>MAX(B17:F17)-MIN(B17:F17)</f>
      </c>
      <c r="I17">
        <f>IF(OR(H17&gt;$L$14,H17&lt;$L$15),"R fuera",IF(OR(G17&gt;$L$12,G17&lt;$L$13),"X̄ fuera","Dentro"))</f>
      </c>
    </row>
    <row r="18">
      <c r="A18">
        <v>13</v>
      </c>
      <c r="B18" s="3">
        <v>9.99</v>
      </c>
      <c r="C18" s="3">
        <v>9.95</v>
      </c>
      <c r="D18" s="3">
        <v>10.01</v>
      </c>
      <c r="E18" s="3">
        <v>10.03</v>
      </c>
      <c r="F18" s="3">
        <v>9.99</v>
      </c>
      <c r="G18" s="8">
        <f>AVERAGE(B18:F18)</f>
      </c>
      <c r="H18" s="8">
        <f>MAX(B18:F18)-MIN(B18:F18)</f>
      </c>
      <c r="I18">
        <f>IF(OR(H18&gt;$L$14,H18&lt;$L$15),"R fuera",IF(OR(G18&gt;$L$12,G18&lt;$L$13),"X̄ fuera","Dentro"))</f>
      </c>
      <c r="K18" s="7" t="inlineStr">
        <is>
          <t xml:space="preserve">Si cambias el tamaño de subgrupo, cambia también A₂, D₃, D₄ y d₂.</t>
        </is>
      </c>
    </row>
    <row r="19">
      <c r="A19">
        <v>14</v>
      </c>
      <c r="B19" s="3">
        <v>9.98</v>
      </c>
      <c r="C19" s="3">
        <v>10.03</v>
      </c>
      <c r="D19" s="3">
        <v>9.98</v>
      </c>
      <c r="E19" s="3">
        <v>10.03</v>
      </c>
      <c r="F19" s="3">
        <v>9.98</v>
      </c>
      <c r="G19" s="8">
        <f>AVERAGE(B19:F19)</f>
      </c>
      <c r="H19" s="8">
        <f>MAX(B19:F19)-MIN(B19:F19)</f>
      </c>
      <c r="I19">
        <f>IF(OR(H19&gt;$L$14,H19&lt;$L$15),"R fuera",IF(OR(G19&gt;$L$12,G19&lt;$L$13),"X̄ fuera","Dentro"))</f>
      </c>
    </row>
    <row r="20">
      <c r="A20">
        <v>15</v>
      </c>
      <c r="B20" s="3">
        <v>10.06</v>
      </c>
      <c r="C20" s="3">
        <v>9.98</v>
      </c>
      <c r="D20" s="3">
        <v>9.95</v>
      </c>
      <c r="E20" s="3">
        <v>10.0</v>
      </c>
      <c r="F20" s="3">
        <v>9.97</v>
      </c>
      <c r="G20" s="8">
        <f>AVERAGE(B20:F20)</f>
      </c>
      <c r="H20" s="8">
        <f>MAX(B20:F20)-MIN(B20:F20)</f>
      </c>
      <c r="I20">
        <f>IF(OR(H20&gt;$L$14,H20&lt;$L$15),"R fuera",IF(OR(G20&gt;$L$12,G20&lt;$L$13),"X̄ fuera","Dentro"))</f>
      </c>
    </row>
    <row r="21">
      <c r="A21">
        <v>16</v>
      </c>
      <c r="B21" s="3">
        <v>9.96</v>
      </c>
      <c r="C21" s="3">
        <v>9.99</v>
      </c>
      <c r="D21" s="3">
        <v>10.03</v>
      </c>
      <c r="E21" s="3">
        <v>9.91</v>
      </c>
      <c r="F21" s="3">
        <v>9.99</v>
      </c>
      <c r="G21" s="8">
        <f>AVERAGE(B21:F21)</f>
      </c>
      <c r="H21" s="8">
        <f>MAX(B21:F21)-MIN(B21:F21)</f>
      </c>
      <c r="I21">
        <f>IF(OR(H21&gt;$L$14,H21&lt;$L$15),"R fuera",IF(OR(G21&gt;$L$12,G21&lt;$L$13),"X̄ fuera","Dentro"))</f>
      </c>
    </row>
    <row r="22">
      <c r="A22">
        <v>17</v>
      </c>
      <c r="B22" s="3">
        <v>9.99</v>
      </c>
      <c r="C22" s="3">
        <v>9.99</v>
      </c>
      <c r="D22" s="3">
        <v>10.03</v>
      </c>
      <c r="E22" s="3">
        <v>9.94</v>
      </c>
      <c r="F22" s="3">
        <v>10.02</v>
      </c>
      <c r="G22" s="8">
        <f>AVERAGE(B22:F22)</f>
      </c>
      <c r="H22" s="8">
        <f>MAX(B22:F22)-MIN(B22:F22)</f>
      </c>
      <c r="I22">
        <f>IF(OR(H22&gt;$L$14,H22&lt;$L$15),"R fuera",IF(OR(G22&gt;$L$12,G22&lt;$L$13),"X̄ fuera","Dentro"))</f>
      </c>
    </row>
    <row r="23">
      <c r="A23">
        <v>18</v>
      </c>
      <c r="B23" s="3">
        <v>9.99</v>
      </c>
      <c r="C23" s="3">
        <v>10.0</v>
      </c>
      <c r="D23" s="3">
        <v>9.99</v>
      </c>
      <c r="E23" s="3">
        <v>9.98</v>
      </c>
      <c r="F23" s="3">
        <v>9.97</v>
      </c>
      <c r="G23" s="8">
        <f>AVERAGE(B23:F23)</f>
      </c>
      <c r="H23" s="8">
        <f>MAX(B23:F23)-MIN(B23:F23)</f>
      </c>
      <c r="I23">
        <f>IF(OR(H23&gt;$L$14,H23&lt;$L$15),"R fuera",IF(OR(G23&gt;$L$12,G23&lt;$L$13),"X̄ fuera","Dentro"))</f>
      </c>
    </row>
    <row r="24">
      <c r="A24">
        <v>19</v>
      </c>
      <c r="B24" s="3">
        <v>10.01</v>
      </c>
      <c r="C24" s="3">
        <v>10.08</v>
      </c>
      <c r="D24" s="3">
        <v>10.04</v>
      </c>
      <c r="E24" s="3">
        <v>10.03</v>
      </c>
      <c r="F24" s="3">
        <v>10.02</v>
      </c>
      <c r="G24" s="8">
        <f>AVERAGE(B24:F24)</f>
      </c>
      <c r="H24" s="8">
        <f>MAX(B24:F24)-MIN(B24:F24)</f>
      </c>
      <c r="I24">
        <f>IF(OR(H24&gt;$L$14,H24&lt;$L$15),"R fuera",IF(OR(G24&gt;$L$12,G24&lt;$L$13),"X̄ fuera","Dentro"))</f>
      </c>
    </row>
    <row r="25">
      <c r="A25">
        <v>20</v>
      </c>
      <c r="B25" s="3">
        <v>9.98</v>
      </c>
      <c r="C25" s="3">
        <v>10.02</v>
      </c>
      <c r="D25" s="3">
        <v>10.08</v>
      </c>
      <c r="E25" s="3">
        <v>9.94</v>
      </c>
      <c r="F25" s="3">
        <v>10.03</v>
      </c>
      <c r="G25" s="8">
        <f>AVERAGE(B25:F25)</f>
      </c>
      <c r="H25" s="8">
        <f>MAX(B25:F25)-MIN(B25:F25)</f>
      </c>
      <c r="I25">
        <f>IF(OR(H25&gt;$L$14,H25&lt;$L$15),"R fuera",IF(OR(G25&gt;$L$12,G25&lt;$L$13),"X̄ fuera","Dentro"))</f>
      </c>
    </row>
  </sheetData>
</worksheet>
</file>