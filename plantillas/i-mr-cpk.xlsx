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-MR y Cpk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14" customWidth="1"/>
    <col min="4" max="4" width="14" customWidth="1"/>
    <col min="5" max="5" width="4" customWidth="1"/>
    <col min="6" max="6" width="30" customWidth="1"/>
    <col min="7" max="7" width="14" customWidth="1"/>
  </cols>
  <sheetData>
    <row r="1">
      <c r="A1" s="1" t="inlineStr">
        <is>
          <t xml:space="preserve">Gráfica I-MR y capacidad (Cp, Cpk)</t>
        </is>
      </c>
    </row>
    <row r="2">
      <c r="A2" s="7" t="inlineStr">
        <is>
          <t xml:space="preserve">Pega tus mediciones en orden de producción en la columna B. Revisa la estabilidad antes de interpretar Cpk.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Obs.</t>
        </is>
      </c>
      <c r="B5" s="2" t="inlineStr">
        <is>
          <t xml:space="preserve">Valor</t>
        </is>
      </c>
      <c r="C5" s="2" t="inlineStr">
        <is>
          <t xml:space="preserve">Rango móvil</t>
        </is>
      </c>
      <c r="D5" s="2" t="inlineStr">
        <is>
          <t xml:space="preserve">Estado</t>
        </is>
      </c>
      <c r="F5" s="2" t="inlineStr">
        <is>
          <t xml:space="preserve">Resumen</t>
        </is>
      </c>
      <c r="G5" s="2" t="inlineStr">
        <is>
          <t xml:space="preserve">Valor</t>
        </is>
      </c>
    </row>
    <row r="6">
      <c r="A6">
        <v>1</v>
      </c>
      <c r="B6" s="3">
        <v>501.3</v>
      </c>
      <c r="D6">
        <f>IF(OR(B6&gt;$G$11,B6&lt;$G$12),"Fuera","Dentro")</f>
      </c>
      <c r="F6" t="inlineStr">
        <is>
          <t xml:space="preserve">Límite inferior de especificación (LIE)</t>
        </is>
      </c>
      <c r="G6" s="3">
        <v>494</v>
      </c>
    </row>
    <row r="7">
      <c r="A7">
        <v>2</v>
      </c>
      <c r="B7" s="3">
        <v>501.8</v>
      </c>
      <c r="C7" s="4">
        <f>ABS(B7-B6)</f>
      </c>
      <c r="D7">
        <f>IF(OR(B7&gt;$G$11,B7&lt;$G$12),"Fuera","Dentro")</f>
      </c>
      <c r="F7" t="inlineStr">
        <is>
          <t xml:space="preserve">Límite superior de especificación (LSE)</t>
        </is>
      </c>
      <c r="G7" s="3">
        <v>506</v>
      </c>
    </row>
    <row r="8">
      <c r="A8">
        <v>3</v>
      </c>
      <c r="B8" s="3">
        <v>500.8</v>
      </c>
      <c r="C8" s="4">
        <f>ABS(B8-B7)</f>
      </c>
      <c r="D8">
        <f>IF(OR(B8&gt;$G$11,B8&lt;$G$12),"Fuera","Dentro")</f>
      </c>
      <c r="F8" t="inlineStr">
        <is>
          <t xml:space="preserve">Media</t>
        </is>
      </c>
      <c r="G8" s="4">
        <f>AVERAGE(B6:B30)</f>
      </c>
    </row>
    <row r="9">
      <c r="A9">
        <v>4</v>
      </c>
      <c r="B9" s="3">
        <v>501.7</v>
      </c>
      <c r="C9" s="4">
        <f>ABS(B9-B8)</f>
      </c>
      <c r="D9">
        <f>IF(OR(B9&gt;$G$11,B9&lt;$G$12),"Fuera","Dentro")</f>
      </c>
      <c r="F9" t="inlineStr">
        <is>
          <t xml:space="preserve">Rango móvil promedio (MR̄)</t>
        </is>
      </c>
      <c r="G9" s="8">
        <f>AVERAGE(C7:C30)</f>
      </c>
    </row>
    <row r="10">
      <c r="A10">
        <v>5</v>
      </c>
      <c r="B10" s="3">
        <v>502.3</v>
      </c>
      <c r="C10" s="4">
        <f>ABS(B10-B9)</f>
      </c>
      <c r="D10">
        <f>IF(OR(B10&gt;$G$11,B10&lt;$G$12),"Fuera","Dentro")</f>
      </c>
      <c r="F10" t="inlineStr">
        <is>
          <t xml:space="preserve">σ̂ = MR̄ / 1.128</t>
        </is>
      </c>
      <c r="G10" s="8">
        <f>G9/1.128</f>
      </c>
    </row>
    <row r="11">
      <c r="A11">
        <v>6</v>
      </c>
      <c r="B11" s="3">
        <v>501.8</v>
      </c>
      <c r="C11" s="4">
        <f>ABS(B11-B10)</f>
      </c>
      <c r="D11">
        <f>IF(OR(B11&gt;$G$11,B11&lt;$G$12),"Fuera","Dentro")</f>
      </c>
      <c r="F11" t="inlineStr">
        <is>
          <t xml:space="preserve">LCS = media + 2.66·MR̄</t>
        </is>
      </c>
      <c r="G11" s="4">
        <f>G8+2.66*G9</f>
      </c>
    </row>
    <row r="12">
      <c r="A12">
        <v>7</v>
      </c>
      <c r="B12" s="3">
        <v>503.0</v>
      </c>
      <c r="C12" s="4">
        <f>ABS(B12-B11)</f>
      </c>
      <c r="D12">
        <f>IF(OR(B12&gt;$G$11,B12&lt;$G$12),"Fuera","Dentro")</f>
      </c>
      <c r="F12" t="inlineStr">
        <is>
          <t xml:space="preserve">LCI = media − 2.66·MR̄</t>
        </is>
      </c>
      <c r="G12" s="4">
        <f>G8-2.66*G9</f>
      </c>
    </row>
    <row r="13">
      <c r="A13">
        <v>8</v>
      </c>
      <c r="B13" s="3">
        <v>500.3</v>
      </c>
      <c r="C13" s="4">
        <f>ABS(B13-B12)</f>
      </c>
      <c r="D13">
        <f>IF(OR(B13&gt;$G$11,B13&lt;$G$12),"Fuera","Dentro")</f>
      </c>
      <c r="F13" t="inlineStr">
        <is>
          <t xml:space="preserve">LCS de la gráfica MR</t>
        </is>
      </c>
      <c r="G13" s="4">
        <f>3.267*G9</f>
      </c>
    </row>
    <row r="14">
      <c r="A14">
        <v>9</v>
      </c>
      <c r="B14" s="3">
        <v>501.4</v>
      </c>
      <c r="C14" s="4">
        <f>ABS(B14-B13)</f>
      </c>
      <c r="D14">
        <f>IF(OR(B14&gt;$G$11,B14&lt;$G$12),"Fuera","Dentro")</f>
      </c>
      <c r="F14" t="inlineStr">
        <is>
          <t xml:space="preserve">Puntos fuera de control</t>
        </is>
      </c>
      <c r="G14">
        <f>COUNTIF(D6:D30,"Fuera")</f>
      </c>
    </row>
    <row r="15">
      <c r="A15">
        <v>10</v>
      </c>
      <c r="B15" s="3">
        <v>500.5</v>
      </c>
      <c r="C15" s="4">
        <f>ABS(B15-B14)</f>
      </c>
      <c r="D15">
        <f>IF(OR(B15&gt;$G$11,B15&lt;$G$12),"Fuera","Dentro")</f>
      </c>
      <c r="F15" t="inlineStr">
        <is>
          <t xml:space="preserve">Cp</t>
        </is>
      </c>
      <c r="G15" s="9">
        <f>(G7-G6)/(6*G10)</f>
      </c>
    </row>
    <row r="16">
      <c r="A16">
        <v>11</v>
      </c>
      <c r="B16" s="3">
        <v>500.4</v>
      </c>
      <c r="C16" s="4">
        <f>ABS(B16-B15)</f>
      </c>
      <c r="D16">
        <f>IF(OR(B16&gt;$G$11,B16&lt;$G$12),"Fuera","Dentro")</f>
      </c>
      <c r="F16" t="inlineStr">
        <is>
          <t xml:space="preserve">Cpk</t>
        </is>
      </c>
      <c r="G16" s="9">
        <f>MIN((G7-G8)/(3*G10),(G8-G6)/(3*G10))</f>
      </c>
    </row>
    <row r="17">
      <c r="A17">
        <v>12</v>
      </c>
      <c r="B17" s="3">
        <v>501.1</v>
      </c>
      <c r="C17" s="4">
        <f>ABS(B17-B16)</f>
      </c>
      <c r="D17">
        <f>IF(OR(B17&gt;$G$11,B17&lt;$G$12),"Fuera","Dentro")</f>
      </c>
      <c r="F17" t="inlineStr">
        <is>
          <t xml:space="preserve">Desviación global (s)</t>
        </is>
      </c>
      <c r="G17" s="8">
        <f>STDEV(B6:B30)</f>
      </c>
    </row>
    <row r="18">
      <c r="A18">
        <v>13</v>
      </c>
      <c r="B18" s="3">
        <v>501.5</v>
      </c>
      <c r="C18" s="4">
        <f>ABS(B18-B17)</f>
      </c>
      <c r="D18">
        <f>IF(OR(B18&gt;$G$11,B18&lt;$G$12),"Fuera","Dentro")</f>
      </c>
      <c r="F18" t="inlineStr">
        <is>
          <t xml:space="preserve">Pp</t>
        </is>
      </c>
      <c r="G18" s="4">
        <f>(G7-G6)/(6*G17)</f>
      </c>
    </row>
    <row r="19">
      <c r="A19">
        <v>14</v>
      </c>
      <c r="B19" s="3">
        <v>501.8</v>
      </c>
      <c r="C19" s="4">
        <f>ABS(B19-B18)</f>
      </c>
      <c r="D19">
        <f>IF(OR(B19&gt;$G$11,B19&lt;$G$12),"Fuera","Dentro")</f>
      </c>
      <c r="F19" t="inlineStr">
        <is>
          <t xml:space="preserve">Ppk</t>
        </is>
      </c>
      <c r="G19" s="4">
        <f>MIN((G7-G8)/(3*G17),(G8-G6)/(3*G17))</f>
      </c>
    </row>
    <row r="20">
      <c r="A20">
        <v>15</v>
      </c>
      <c r="B20" s="3">
        <v>501.9</v>
      </c>
      <c r="C20" s="4">
        <f>ABS(B20-B19)</f>
      </c>
      <c r="D20">
        <f>IF(OR(B20&gt;$G$11,B20&lt;$G$12),"Fuera","Dentro")</f>
      </c>
    </row>
    <row r="21">
      <c r="A21">
        <v>16</v>
      </c>
      <c r="B21" s="3">
        <v>503.8</v>
      </c>
      <c r="C21" s="4">
        <f>ABS(B21-B20)</f>
      </c>
      <c r="D21">
        <f>IF(OR(B21&gt;$G$11,B21&lt;$G$12),"Fuera","Dentro")</f>
      </c>
      <c r="F21" s="7" t="inlineStr">
        <is>
          <t xml:space="preserve">Si hay puntos fuera de control, Cp y Cpk no son interpretables.</t>
        </is>
      </c>
    </row>
    <row r="22">
      <c r="A22">
        <v>17</v>
      </c>
      <c r="B22" s="3">
        <v>502.2</v>
      </c>
      <c r="C22" s="4">
        <f>ABS(B22-B21)</f>
      </c>
      <c r="D22">
        <f>IF(OR(B22&gt;$G$11,B22&lt;$G$12),"Fuera","Dentro")</f>
      </c>
    </row>
    <row r="23">
      <c r="A23">
        <v>18</v>
      </c>
      <c r="B23" s="3">
        <v>499.5</v>
      </c>
      <c r="C23" s="4">
        <f>ABS(B23-B22)</f>
      </c>
      <c r="D23">
        <f>IF(OR(B23&gt;$G$11,B23&lt;$G$12),"Fuera","Dentro")</f>
      </c>
    </row>
    <row r="24">
      <c r="A24">
        <v>19</v>
      </c>
      <c r="B24" s="3">
        <v>501.5</v>
      </c>
      <c r="C24" s="4">
        <f>ABS(B24-B23)</f>
      </c>
      <c r="D24">
        <f>IF(OR(B24&gt;$G$11,B24&lt;$G$12),"Fuera","Dentro")</f>
      </c>
    </row>
    <row r="25">
      <c r="A25">
        <v>20</v>
      </c>
      <c r="B25" s="3">
        <v>500.6</v>
      </c>
      <c r="C25" s="4">
        <f>ABS(B25-B24)</f>
      </c>
      <c r="D25">
        <f>IF(OR(B25&gt;$G$11,B25&lt;$G$12),"Fuera","Dentro")</f>
      </c>
    </row>
    <row r="26">
      <c r="A26">
        <v>21</v>
      </c>
      <c r="B26" s="3">
        <v>500.7</v>
      </c>
      <c r="C26" s="4">
        <f>ABS(B26-B25)</f>
      </c>
      <c r="D26">
        <f>IF(OR(B26&gt;$G$11,B26&lt;$G$12),"Fuera","Dentro")</f>
      </c>
    </row>
    <row r="27">
      <c r="A27">
        <v>22</v>
      </c>
      <c r="B27" s="3">
        <v>502.7</v>
      </c>
      <c r="C27" s="4">
        <f>ABS(B27-B26)</f>
      </c>
      <c r="D27">
        <f>IF(OR(B27&gt;$G$11,B27&lt;$G$12),"Fuera","Dentro")</f>
      </c>
    </row>
    <row r="28">
      <c r="A28">
        <v>23</v>
      </c>
      <c r="B28" s="3">
        <v>501.1</v>
      </c>
      <c r="C28" s="4">
        <f>ABS(B28-B27)</f>
      </c>
      <c r="D28">
        <f>IF(OR(B28&gt;$G$11,B28&lt;$G$12),"Fuera","Dentro")</f>
      </c>
    </row>
    <row r="29">
      <c r="A29">
        <v>24</v>
      </c>
      <c r="B29" s="3">
        <v>499.2</v>
      </c>
      <c r="C29" s="4">
        <f>ABS(B29-B28)</f>
      </c>
      <c r="D29">
        <f>IF(OR(B29&gt;$G$11,B29&lt;$G$12),"Fuera","Dentro")</f>
      </c>
    </row>
    <row r="30">
      <c r="A30">
        <v>25</v>
      </c>
      <c r="B30" s="3">
        <v>501.6</v>
      </c>
      <c r="C30" s="4">
        <f>ABS(B30-B29)</f>
      </c>
      <c r="D30">
        <f>IF(OR(B30&gt;$G$11,B30&lt;$G$12),"Fuera","Dentro")</f>
      </c>
    </row>
  </sheetData>
</worksheet>
</file>