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OQ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"/>
    <numFmt numFmtId="166" formatCode="0.0%"/>
  </numFmts>
  <fonts count="5">
    <font>
      <sz val="11"/>
      <name val="Calibri"/>
    </font>
    <font>
      <b/>
      <sz val="14"/>
      <color rgb="FF1F5FD1"/>
      <name val="Calibri"/>
    </font>
    <font>
      <b/>
      <sz val="11"/>
      <color rgb="FFFFFFFF"/>
      <name val="Calibri"/>
    </font>
    <font>
      <i/>
      <sz val="10"/>
      <color rgb="FF5A67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D1"/>
      </patternFill>
    </fill>
    <fill>
      <patternFill patternType="solid">
        <fgColor rgb="FFFFF6D6"/>
      </patternFill>
    </fill>
  </fills>
  <borders count="1">
    <border/>
  </borders>
  <cellStyleXfs count="1">
    <xf/>
  </cellStyleXfs>
  <cellXfs count="10">
    <xf/>
    <xf fontId="1" applyFont="1"/>
    <xf fontId="2" fillId="2" applyFont="1" applyFill="1"/>
    <xf fillId="3" applyFill="1"/>
    <xf numFmtId="2" applyNumberFormat="1"/>
    <xf numFmtId="166" applyNumberFormat="1"/>
    <xf numFmtId="165" applyNumberFormat="1"/>
    <xf fontId="3" applyFont="1"/>
    <xf numFmtId="164" applyNumberFormat="1"/>
    <xf numFmtId="2" fontId="4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6" customWidth="1"/>
    <col min="2" max="2" width="14" customWidth="1"/>
    <col min="3" max="3" width="16" customWidth="1"/>
  </cols>
  <sheetData>
    <row r="1">
      <c r="A1" s="1" t="inlineStr">
        <is>
          <t xml:space="preserve">Lote económico de pedido (EOQ)</t>
        </is>
      </c>
    </row>
    <row r="2">
      <c r="A2" s="7" t="inlineStr">
        <is>
          <t xml:space="preserve">Captura demanda y costos en las mismas unidades de tiempo (anuales).</t>
        </is>
      </c>
    </row>
    <row r="3">
      <c r="A3" s="7" t="inlineStr">
        <is>
          <t xml:space="preserve">Industrial Toolkit · CC BY-NC-SA 4.0 · Las celdas amarillas son datos que puedes cambiar.</t>
        </is>
      </c>
    </row>
    <row r="5">
      <c r="A5" s="2" t="inlineStr">
        <is>
          <t xml:space="preserve">Parámetro</t>
        </is>
      </c>
      <c r="B5" s="2" t="inlineStr">
        <is>
          <t xml:space="preserve">Valor</t>
        </is>
      </c>
      <c r="C5" s="2" t="inlineStr">
        <is>
          <t xml:space="preserve">Unidad</t>
        </is>
      </c>
    </row>
    <row r="6">
      <c r="A6" t="inlineStr">
        <is>
          <t xml:space="preserve">Demanda anual (D)</t>
        </is>
      </c>
      <c r="B6" s="3">
        <v>12000</v>
      </c>
      <c r="C6" t="inlineStr">
        <is>
          <t xml:space="preserve">unidades/año</t>
        </is>
      </c>
    </row>
    <row r="7">
      <c r="A7" t="inlineStr">
        <is>
          <t xml:space="preserve">Costo por pedido (S)</t>
        </is>
      </c>
      <c r="B7" s="3">
        <v>450</v>
      </c>
      <c r="C7" t="inlineStr">
        <is>
          <t xml:space="preserve">$/pedido</t>
        </is>
      </c>
    </row>
    <row r="8">
      <c r="A8" t="inlineStr">
        <is>
          <t xml:space="preserve">Costo de mantener (H)</t>
        </is>
      </c>
      <c r="B8" s="3">
        <v>18</v>
      </c>
      <c r="C8" t="inlineStr">
        <is>
          <t xml:space="preserve">$/(unidad·año)</t>
        </is>
      </c>
    </row>
    <row r="9">
      <c r="A9" t="inlineStr">
        <is>
          <t xml:space="preserve">Q* = √(2DS/H)</t>
        </is>
      </c>
      <c r="B9" s="9">
        <f>SQRT(2*B6*B7/B8)</f>
      </c>
      <c r="C9" t="inlineStr">
        <is>
          <t xml:space="preserve">unidades</t>
        </is>
      </c>
    </row>
    <row r="10">
      <c r="A10" t="inlineStr">
        <is>
          <t xml:space="preserve">Pedidos por año</t>
        </is>
      </c>
      <c r="B10" s="4">
        <f>B6/B9</f>
      </c>
      <c r="C10" t="inlineStr">
        <is>
          <t xml:space="preserve">pedidos</t>
        </is>
      </c>
    </row>
    <row r="11">
      <c r="A11" t="inlineStr">
        <is>
          <t xml:space="preserve">Costo anual de ordenar</t>
        </is>
      </c>
      <c r="B11" s="6">
        <f>B6/B9*B7</f>
      </c>
      <c r="C11" t="inlineStr">
        <is>
          <t xml:space="preserve">$</t>
        </is>
      </c>
    </row>
    <row r="12">
      <c r="A12" t="inlineStr">
        <is>
          <t xml:space="preserve">Costo anual de mantener</t>
        </is>
      </c>
      <c r="B12" s="6">
        <f>B9/2*B8</f>
      </c>
      <c r="C12" t="inlineStr">
        <is>
          <t xml:space="preserve">$</t>
        </is>
      </c>
    </row>
    <row r="13">
      <c r="A13" t="inlineStr">
        <is>
          <t xml:space="preserve">Costo total</t>
        </is>
      </c>
      <c r="B13" s="6">
        <f>B11+B12</f>
      </c>
      <c r="C13" t="inlineStr">
        <is>
          <t xml:space="preserve">$</t>
        </is>
      </c>
    </row>
  </sheetData>
</worksheet>
</file>